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<sst xmlns="http://schemas.openxmlformats.org/spreadsheetml/2006/main" count="172" uniqueCount="127">
  <si>
    <t xml:space="preserve">TC ID</t>
  </si>
  <si>
    <t xml:space="preserve">Title</t>
  </si>
  <si>
    <t xml:space="preserve">Preconditions</t>
  </si>
  <si>
    <t xml:space="preserve">Steps</t>
  </si>
  <si>
    <t xml:space="preserve">Expected Result</t>
  </si>
  <si>
    <t xml:space="preserve">Type</t>
  </si>
  <si>
    <t xml:space="preserve">Automated</t>
  </si>
  <si>
    <t xml:space="preserve">Linked Story/Req</t>
  </si>
  <si>
    <t xml:space="preserve">Notes</t>
  </si>
  <si>
    <t xml:space="preserve">TC-01</t>
  </si>
  <si>
    <t xml:space="preserve">Happy path — full order lifecycle</t>
  </si>
  <si>
    <t xml:space="preserve">Valid order request, inventory available, payment valid</t>
  </si>
  <si>
    <t xml:space="preserve">Start OrderWorkflow with a valid OrderRequest</t>
  </si>
  <si>
    <t xml:space="preserve">Order transitions RECEIVED -&gt; VALIDATING -&gt; VALIDATED -&gt; PROVISIONING -&gt; PROVISIONED -&gt; DISPATCHING -&gt; DISPATCHED -&gt; (continue-as-new) -&gt; COMPLETED</t>
  </si>
  <si>
    <t xml:space="preserve">Functional</t>
  </si>
  <si>
    <t xml:space="preserve">Yes</t>
  </si>
  <si>
    <t xml:space="preserve">US-001..US-005</t>
  </si>
  <si>
    <t xml:space="preserve">TC-02</t>
  </si>
  <si>
    <t xml:space="preserve">Validation fails — insufficient inventory</t>
  </si>
  <si>
    <t xml:space="preserve">Order for a SKU with 0 stock</t>
  </si>
  <si>
    <t xml:space="preserve">Start workflow</t>
  </si>
  <si>
    <t xml:space="preserve">Workflow ends in REJECTED with reason INVENTORY_UNAVAILABLE; no provisioning/dispatch activities invoked</t>
  </si>
  <si>
    <t xml:space="preserve">US-002</t>
  </si>
  <si>
    <t xml:space="preserve">TC-03</t>
  </si>
  <si>
    <t xml:space="preserve">Validation fails — payment declined</t>
  </si>
  <si>
    <t xml:space="preserve">Payment token configured to decline</t>
  </si>
  <si>
    <t xml:space="preserve">Workflow ends in REJECTED with reason PAYMENT_DECLINED</t>
  </si>
  <si>
    <t xml:space="preserve">TC-04</t>
  </si>
  <si>
    <t xml:space="preserve">Validation fails — fraud score above threshold</t>
  </si>
  <si>
    <t xml:space="preserve">Order flagged by fraud mock</t>
  </si>
  <si>
    <t xml:space="preserve">Workflow ends REJECTED, reason FRAUD_HOLD; order routed to manual review queue</t>
  </si>
  <si>
    <t xml:space="preserve">TC-05</t>
  </si>
  <si>
    <t xml:space="preserve">Provisioning fails after validation succeeds</t>
  </si>
  <si>
    <t xml:space="preserve">Inventory becomes unavailable between validate and provision (race)</t>
  </si>
  <si>
    <t xml:space="preserve">Start workflow, force provision activity to fail</t>
  </si>
  <si>
    <t xml:space="preserve">Workflow ends REJECTED; no compensation needed since nothing was reserved</t>
  </si>
  <si>
    <t xml:space="preserve">US-003</t>
  </si>
  <si>
    <t xml:space="preserve">TC-06</t>
  </si>
  <si>
    <t xml:space="preserve">Dispatch fails after provisioning succeeds</t>
  </si>
  <si>
    <t xml:space="preserve">Carrier API mock returns error on first N attempts</t>
  </si>
  <si>
    <t xml:space="preserve">Start workflow, force dispatch failure beyond retry budget</t>
  </si>
  <si>
    <t xml:space="preserve">Workflow runs compensate_provisioning (inventory released), ends REJECTED, reason DISPATCH_FAILED</t>
  </si>
  <si>
    <t xml:space="preserve">Functional / Compensation</t>
  </si>
  <si>
    <t xml:space="preserve">US-004</t>
  </si>
  <si>
    <t xml:space="preserve">TC-07</t>
  </si>
  <si>
    <t xml:space="preserve">Transient dispatch failure recovers on retry</t>
  </si>
  <si>
    <t xml:space="preserve">Carrier API mock fails twice, succeeds on 3rd attempt</t>
  </si>
  <si>
    <t xml:space="preserve">Activity retry policy absorbs the failures; workflow proceeds to DISPATCHED with only ONE shipment created (idempotency key reused across retries)</t>
  </si>
  <si>
    <t xml:space="preserve">Reliability / Idempotency</t>
  </si>
  <si>
    <t xml:space="preserve">TC-08</t>
  </si>
  <si>
    <t xml:space="preserve">Cancellation before provisioning</t>
  </si>
  <si>
    <t xml:space="preserve">Order in VALIDATING or VALIDATED</t>
  </si>
  <si>
    <t xml:space="preserve">Send cancel_order signal</t>
  </si>
  <si>
    <t xml:space="preserve">Workflow halts before provisioning, ends CANCELLED; no compensation activities invoked (nothing to reverse)</t>
  </si>
  <si>
    <t xml:space="preserve">Functional / Cancellation</t>
  </si>
  <si>
    <t xml:space="preserve">TDD §4.3</t>
  </si>
  <si>
    <t xml:space="preserve">TC-09</t>
  </si>
  <si>
    <t xml:space="preserve">Cancellation after provisioning, before dispatch</t>
  </si>
  <si>
    <t xml:space="preserve">Order in PROVISIONED</t>
  </si>
  <si>
    <t xml:space="preserve">compensate_provisioning runs (inventory released); workflow ends CANCELLED</t>
  </si>
  <si>
    <t xml:space="preserve">TC-10</t>
  </si>
  <si>
    <t xml:space="preserve">Cancellation after dispatch</t>
  </si>
  <si>
    <t xml:space="preserve">Order in DISPATCHED</t>
  </si>
  <si>
    <t xml:space="preserve">compensate_dispatch (recall/return-to-sender) then compensate_provisioning; workflow ends CANCELLED</t>
  </si>
  <si>
    <t xml:space="preserve">TC-11</t>
  </si>
  <si>
    <t xml:space="preserve">Cancellation attempted after completion</t>
  </si>
  <si>
    <t xml:space="preserve">Order in COMPLETED</t>
  </si>
  <si>
    <t xml:space="preserve">Signal is a no-op; workflow remains COMPLETED; audit log records the ignored cancellation attempt</t>
  </si>
  <si>
    <t xml:space="preserve">Edge case</t>
  </si>
  <si>
    <t xml:space="preserve">US-005</t>
  </si>
  <si>
    <t xml:space="preserve">TC-12</t>
  </si>
  <si>
    <t xml:space="preserve">Status query at every stage</t>
  </si>
  <si>
    <t xml:space="preserve">Any stage</t>
  </si>
  <si>
    <t xml:space="preserve">Call get_status() query</t>
  </si>
  <si>
    <t xml:space="preserve">Returns correct OrderStatus, per-stage timestamps, and null failure reason (unless rejected/cancelled)</t>
  </si>
  <si>
    <t xml:space="preserve">TDD §4.5</t>
  </si>
  <si>
    <t xml:space="preserve">TC-13</t>
  </si>
  <si>
    <t xml:space="preserve">Duplicate order capture (same order_id)</t>
  </si>
  <si>
    <t xml:space="preserve">Order already started with order_id = X</t>
  </si>
  <si>
    <t xml:space="preserve">Attempt to start a second workflow with Workflow ID X</t>
  </si>
  <si>
    <t xml:space="preserve">Temporal rejects the duplicate start (WorkflowExecutionAlreadyStarted); intake service treats this as success (idempotent capture)</t>
  </si>
  <si>
    <t xml:space="preserve">US-001</t>
  </si>
  <si>
    <t xml:space="preserve">TC-14</t>
  </si>
  <si>
    <t xml:space="preserve">Long backorder wait does not bloat history</t>
  </si>
  <si>
    <t xml:space="preserve">Order provisioned but awaiting extended backorder resupply</t>
  </si>
  <si>
    <t xml:space="preserve">Simulate multi-day wait using time-skipping test environment</t>
  </si>
  <si>
    <t xml:space="preserve">continue_as_new triggers as designed after dispatch stage per §4.7 of TDD; workflow history stays within safe size bounds</t>
  </si>
  <si>
    <t xml:space="preserve">Non-functional / Scalability</t>
  </si>
  <si>
    <t xml:space="preserve">US-005 / TDD §4.7</t>
  </si>
  <si>
    <t xml:space="preserve">TC-15</t>
  </si>
  <si>
    <t xml:space="preserve">Worker crash mid-activity does not duplicate side effects</t>
  </si>
  <si>
    <t xml:space="preserve">Provisioning activity in-flight</t>
  </si>
  <si>
    <t xml:space="preserve">Kill worker process mid-activity, restart worker</t>
  </si>
  <si>
    <t xml:space="preserve">Activity resumes/retries; inventory reserved exactly once (idempotency key dedupe)</t>
  </si>
  <si>
    <t xml:space="preserve">Reliability</t>
  </si>
  <si>
    <t xml:space="preserve">Manual (chaos test)</t>
  </si>
  <si>
    <t xml:space="preserve">TDD §4.2</t>
  </si>
  <si>
    <t xml:space="preserve">Requires infrastructure not modeled in the reference repo</t>
  </si>
  <si>
    <t xml:space="preserve">TC-16</t>
  </si>
  <si>
    <t xml:space="preserve">SLA breach alerting</t>
  </si>
  <si>
    <t xml:space="preserve">Dispatch stage exceeds 4-hour SLA (§4.6 of TDD)</t>
  </si>
  <si>
    <t xml:space="preserve">Simulate elapsed time past SLA in test env</t>
  </si>
  <si>
    <t xml:space="preserve">SlaMonitorWorkflow (or equivalent) raises an alert; order workflow itself is unaffected and continues</t>
  </si>
  <si>
    <t xml:space="preserve">Non-functional / Observability</t>
  </si>
  <si>
    <t xml:space="preserve">Planned</t>
  </si>
  <si>
    <t xml:space="preserve">TDD §6</t>
  </si>
  <si>
    <t xml:space="preserve">SlaMonitorWorkflow is a design placeholder, not yet implemented</t>
  </si>
  <si>
    <t xml:space="preserve">TC-17</t>
  </si>
  <si>
    <t xml:space="preserve">Invalid order request payload</t>
  </si>
  <si>
    <t xml:space="preserve">Missing required field (e.g., no line items)</t>
  </si>
  <si>
    <t xml:space="preserve">Attempt capture_order</t>
  </si>
  <si>
    <t xml:space="preserve">Activity raises a non-retryable application error; workflow ends REJECTED, reason INVALID_REQUEST — no retries wasted on a permanently invalid input</t>
  </si>
  <si>
    <t xml:space="preserve">Functional / Validation</t>
  </si>
  <si>
    <t xml:space="preserve">Test Case Matrix — Order Lifecycle Workflow</t>
  </si>
  <si>
    <t xml:space="preserve">Linked TDD:</t>
  </si>
  <si>
    <t xml:space="preserve">TDD-ORD-001</t>
  </si>
  <si>
    <t xml:space="preserve">Linked Epic:</t>
  </si>
  <si>
    <t xml:space="preserve">EPIC-001</t>
  </si>
  <si>
    <t xml:space="preserve">Automation:</t>
  </si>
  <si>
    <t xml:space="preserve">tests/test_order_workflow.py</t>
  </si>
  <si>
    <t xml:space="preserve">Totals by Automation Status</t>
  </si>
  <si>
    <t xml:space="preserve">Automated (Yes)</t>
  </si>
  <si>
    <t xml:space="preserve">Manual</t>
  </si>
  <si>
    <t xml:space="preserve">Total Test Cases</t>
  </si>
  <si>
    <t xml:space="preserve">Totals by Type</t>
  </si>
  <si>
    <t xml:space="preserve">"Automated" test cases are implemented in tests/test_order_workflow.py using temporalio.testing.WorkflowEnvironment's time-skipping server, with activities mocked via @activity.defn-decorated stand-ins registered per test.</t>
  </si>
  <si>
    <t xml:space="preserve">TC-15 (worker crash) and TC-16 (SLA monitor) require infrastructure not modeled in this reference repo and are flagged accordingly.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</si>
</sst>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2F549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2F549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2F2F2"/>
        <bgColor rgb="FFFFFFFF"/>
      </patternFill>
    </fill>
    <fill>
      <patternFill patternType="solid">
        <fgColor rgb="FFD9EAD3"/>
        <bgColor rgb="FFD9D9D9"/>
      </patternFill>
    </fill>
    <fill>
      <patternFill patternType="solid">
        <fgColor rgb="FFFCE5CD"/>
        <bgColor rgb="FFFFF2CC"/>
      </patternFill>
    </fill>
    <fill>
      <patternFill patternType="solid">
        <fgColor rgb="FFFFF2CC"/>
        <bgColor rgb="FFFCE5C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2F549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CE5C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estCases" displayName="TestCases" ref="A1:I18" headerRowCount="1" totalsRowCount="0" totalsRowShown="0">
  <autoFilter ref="A1:I18"/>
  <tableColumns count="9">
    <tableColumn id="1" name="TC ID"/>
    <tableColumn id="2" name="Title"/>
    <tableColumn id="3" name="Preconditions"/>
    <tableColumn id="4" name="Steps"/>
    <tableColumn id="5" name="Expected Result"/>
    <tableColumn id="6" name="Type"/>
    <tableColumn id="7" name="Automated"/>
    <tableColumn id="8" name="Linked Story/Req"/>
    <tableColumn id="9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32"/>
    <col collapsed="false" customWidth="true" hidden="false" outlineLevel="0" max="4" min="4" style="0" width="30"/>
    <col collapsed="false" customWidth="true" hidden="false" outlineLevel="0" max="5" min="5" style="0" width="48"/>
    <col collapsed="false" customWidth="true" hidden="false" outlineLevel="0" max="6" min="6" style="0" width="20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9" min="9" style="0" width="3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46.2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 t="s">
        <v>15</v>
      </c>
      <c r="H2" s="2" t="s">
        <v>16</v>
      </c>
      <c r="I2" s="2"/>
    </row>
    <row r="3" customFormat="false" ht="35.05" hidden="false" customHeight="false" outlineLevel="0" collapsed="false">
      <c r="A3" s="4" t="s">
        <v>17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14</v>
      </c>
      <c r="G3" s="3" t="s">
        <v>15</v>
      </c>
      <c r="H3" s="4" t="s">
        <v>22</v>
      </c>
      <c r="I3" s="4"/>
    </row>
    <row r="4" customFormat="false" ht="23.8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20</v>
      </c>
      <c r="E4" s="2" t="s">
        <v>26</v>
      </c>
      <c r="F4" s="2" t="s">
        <v>14</v>
      </c>
      <c r="G4" s="3" t="s">
        <v>15</v>
      </c>
      <c r="H4" s="2" t="s">
        <v>22</v>
      </c>
      <c r="I4" s="2"/>
    </row>
    <row r="5" customFormat="false" ht="23.85" hidden="false" customHeight="false" outlineLevel="0" collapsed="false">
      <c r="A5" s="4" t="s">
        <v>27</v>
      </c>
      <c r="B5" s="4" t="s">
        <v>28</v>
      </c>
      <c r="C5" s="4" t="s">
        <v>29</v>
      </c>
      <c r="D5" s="4" t="s">
        <v>20</v>
      </c>
      <c r="E5" s="4" t="s">
        <v>30</v>
      </c>
      <c r="F5" s="4" t="s">
        <v>14</v>
      </c>
      <c r="G5" s="3" t="s">
        <v>15</v>
      </c>
      <c r="H5" s="4" t="s">
        <v>22</v>
      </c>
      <c r="I5" s="4"/>
    </row>
    <row r="6" customFormat="false" ht="23.85" hidden="false" customHeight="false" outlineLevel="0" collapsed="false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14</v>
      </c>
      <c r="G6" s="3" t="s">
        <v>15</v>
      </c>
      <c r="H6" s="2" t="s">
        <v>36</v>
      </c>
      <c r="I6" s="2"/>
    </row>
    <row r="7" customFormat="false" ht="23.85" hidden="false" customHeight="false" outlineLevel="0" collapsed="false">
      <c r="A7" s="4" t="s">
        <v>37</v>
      </c>
      <c r="B7" s="4" t="s">
        <v>38</v>
      </c>
      <c r="C7" s="4" t="s">
        <v>39</v>
      </c>
      <c r="D7" s="4" t="s">
        <v>40</v>
      </c>
      <c r="E7" s="4" t="s">
        <v>41</v>
      </c>
      <c r="F7" s="4" t="s">
        <v>42</v>
      </c>
      <c r="G7" s="3" t="s">
        <v>15</v>
      </c>
      <c r="H7" s="4" t="s">
        <v>43</v>
      </c>
      <c r="I7" s="4"/>
    </row>
    <row r="8" customFormat="false" ht="35.05" hidden="false" customHeight="false" outlineLevel="0" collapsed="false">
      <c r="A8" s="2" t="s">
        <v>44</v>
      </c>
      <c r="B8" s="2" t="s">
        <v>45</v>
      </c>
      <c r="C8" s="2" t="s">
        <v>46</v>
      </c>
      <c r="D8" s="2" t="s">
        <v>20</v>
      </c>
      <c r="E8" s="2" t="s">
        <v>47</v>
      </c>
      <c r="F8" s="2" t="s">
        <v>48</v>
      </c>
      <c r="G8" s="3" t="s">
        <v>15</v>
      </c>
      <c r="H8" s="2" t="s">
        <v>43</v>
      </c>
      <c r="I8" s="2"/>
    </row>
    <row r="9" customFormat="false" ht="23.85" hidden="false" customHeight="false" outlineLevel="0" collapsed="false">
      <c r="A9" s="4" t="s">
        <v>49</v>
      </c>
      <c r="B9" s="4" t="s">
        <v>50</v>
      </c>
      <c r="C9" s="4" t="s">
        <v>51</v>
      </c>
      <c r="D9" s="4" t="s">
        <v>52</v>
      </c>
      <c r="E9" s="4" t="s">
        <v>53</v>
      </c>
      <c r="F9" s="4" t="s">
        <v>54</v>
      </c>
      <c r="G9" s="3" t="s">
        <v>15</v>
      </c>
      <c r="H9" s="4" t="s">
        <v>55</v>
      </c>
      <c r="I9" s="4"/>
    </row>
    <row r="10" customFormat="false" ht="23.85" hidden="false" customHeight="false" outlineLevel="0" collapsed="false">
      <c r="A10" s="2" t="s">
        <v>56</v>
      </c>
      <c r="B10" s="2" t="s">
        <v>57</v>
      </c>
      <c r="C10" s="2" t="s">
        <v>58</v>
      </c>
      <c r="D10" s="2" t="s">
        <v>52</v>
      </c>
      <c r="E10" s="2" t="s">
        <v>59</v>
      </c>
      <c r="F10" s="2" t="s">
        <v>42</v>
      </c>
      <c r="G10" s="3" t="s">
        <v>15</v>
      </c>
      <c r="H10" s="2" t="s">
        <v>55</v>
      </c>
      <c r="I10" s="2"/>
    </row>
    <row r="11" customFormat="false" ht="23.85" hidden="false" customHeight="false" outlineLevel="0" collapsed="false">
      <c r="A11" s="4" t="s">
        <v>60</v>
      </c>
      <c r="B11" s="4" t="s">
        <v>61</v>
      </c>
      <c r="C11" s="4" t="s">
        <v>62</v>
      </c>
      <c r="D11" s="4" t="s">
        <v>52</v>
      </c>
      <c r="E11" s="4" t="s">
        <v>63</v>
      </c>
      <c r="F11" s="4" t="s">
        <v>42</v>
      </c>
      <c r="G11" s="3" t="s">
        <v>15</v>
      </c>
      <c r="H11" s="4" t="s">
        <v>55</v>
      </c>
      <c r="I11" s="4"/>
    </row>
    <row r="12" customFormat="false" ht="23.85" hidden="false" customHeight="false" outlineLevel="0" collapsed="false">
      <c r="A12" s="2" t="s">
        <v>64</v>
      </c>
      <c r="B12" s="2" t="s">
        <v>65</v>
      </c>
      <c r="C12" s="2" t="s">
        <v>66</v>
      </c>
      <c r="D12" s="2" t="s">
        <v>52</v>
      </c>
      <c r="E12" s="2" t="s">
        <v>67</v>
      </c>
      <c r="F12" s="2" t="s">
        <v>68</v>
      </c>
      <c r="G12" s="3" t="s">
        <v>15</v>
      </c>
      <c r="H12" s="2" t="s">
        <v>69</v>
      </c>
      <c r="I12" s="2"/>
    </row>
    <row r="13" customFormat="false" ht="23.85" hidden="false" customHeight="false" outlineLevel="0" collapsed="false">
      <c r="A13" s="4" t="s">
        <v>70</v>
      </c>
      <c r="B13" s="4" t="s">
        <v>71</v>
      </c>
      <c r="C13" s="4" t="s">
        <v>72</v>
      </c>
      <c r="D13" s="4" t="s">
        <v>73</v>
      </c>
      <c r="E13" s="4" t="s">
        <v>74</v>
      </c>
      <c r="F13" s="4" t="s">
        <v>14</v>
      </c>
      <c r="G13" s="3" t="s">
        <v>15</v>
      </c>
      <c r="H13" s="4" t="s">
        <v>75</v>
      </c>
      <c r="I13" s="4"/>
    </row>
    <row r="14" customFormat="false" ht="35.05" hidden="false" customHeight="false" outlineLevel="0" collapsed="false">
      <c r="A14" s="2" t="s">
        <v>76</v>
      </c>
      <c r="B14" s="2" t="s">
        <v>77</v>
      </c>
      <c r="C14" s="2" t="s">
        <v>78</v>
      </c>
      <c r="D14" s="2" t="s">
        <v>79</v>
      </c>
      <c r="E14" s="2" t="s">
        <v>80</v>
      </c>
      <c r="F14" s="2" t="s">
        <v>48</v>
      </c>
      <c r="G14" s="3" t="s">
        <v>15</v>
      </c>
      <c r="H14" s="2" t="s">
        <v>81</v>
      </c>
      <c r="I14" s="2"/>
    </row>
    <row r="15" customFormat="false" ht="35.05" hidden="false" customHeight="false" outlineLevel="0" collapsed="false">
      <c r="A15" s="4" t="s">
        <v>82</v>
      </c>
      <c r="B15" s="4" t="s">
        <v>83</v>
      </c>
      <c r="C15" s="4" t="s">
        <v>84</v>
      </c>
      <c r="D15" s="4" t="s">
        <v>85</v>
      </c>
      <c r="E15" s="4" t="s">
        <v>86</v>
      </c>
      <c r="F15" s="4" t="s">
        <v>87</v>
      </c>
      <c r="G15" s="3" t="s">
        <v>15</v>
      </c>
      <c r="H15" s="4" t="s">
        <v>88</v>
      </c>
      <c r="I15" s="4"/>
    </row>
    <row r="16" customFormat="false" ht="23.85" hidden="false" customHeight="false" outlineLevel="0" collapsed="false">
      <c r="A16" s="2" t="s">
        <v>89</v>
      </c>
      <c r="B16" s="2" t="s">
        <v>90</v>
      </c>
      <c r="C16" s="2" t="s">
        <v>91</v>
      </c>
      <c r="D16" s="2" t="s">
        <v>92</v>
      </c>
      <c r="E16" s="2" t="s">
        <v>93</v>
      </c>
      <c r="F16" s="2" t="s">
        <v>94</v>
      </c>
      <c r="G16" s="5" t="s">
        <v>95</v>
      </c>
      <c r="H16" s="2" t="s">
        <v>96</v>
      </c>
      <c r="I16" s="2" t="s">
        <v>97</v>
      </c>
    </row>
    <row r="17" customFormat="false" ht="23.85" hidden="false" customHeight="false" outlineLevel="0" collapsed="false">
      <c r="A17" s="4" t="s">
        <v>98</v>
      </c>
      <c r="B17" s="4" t="s">
        <v>99</v>
      </c>
      <c r="C17" s="4" t="s">
        <v>100</v>
      </c>
      <c r="D17" s="4" t="s">
        <v>101</v>
      </c>
      <c r="E17" s="4" t="s">
        <v>102</v>
      </c>
      <c r="F17" s="4" t="s">
        <v>103</v>
      </c>
      <c r="G17" s="6" t="s">
        <v>104</v>
      </c>
      <c r="H17" s="4" t="s">
        <v>105</v>
      </c>
      <c r="I17" s="4" t="s">
        <v>106</v>
      </c>
    </row>
    <row r="18" customFormat="false" ht="35.05" hidden="false" customHeight="false" outlineLevel="0" collapsed="false">
      <c r="A18" s="2" t="s">
        <v>107</v>
      </c>
      <c r="B18" s="2" t="s">
        <v>108</v>
      </c>
      <c r="C18" s="2" t="s">
        <v>109</v>
      </c>
      <c r="D18" s="2" t="s">
        <v>110</v>
      </c>
      <c r="E18" s="2" t="s">
        <v>111</v>
      </c>
      <c r="F18" s="2" t="s">
        <v>112</v>
      </c>
      <c r="G18" s="3" t="s">
        <v>15</v>
      </c>
      <c r="H18" s="2" t="s">
        <v>81</v>
      </c>
      <c r="I1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8"/>
  </cols>
  <sheetData>
    <row r="1" customFormat="false" ht="17.35" hidden="false" customHeight="false" outlineLevel="0" collapsed="false">
      <c r="A1" s="7" t="s">
        <v>113</v>
      </c>
    </row>
    <row r="3" customFormat="false" ht="15" hidden="false" customHeight="false" outlineLevel="0" collapsed="false">
      <c r="A3" s="8" t="s">
        <v>114</v>
      </c>
      <c r="B3" s="9" t="s">
        <v>115</v>
      </c>
    </row>
    <row r="4" customFormat="false" ht="15" hidden="false" customHeight="false" outlineLevel="0" collapsed="false">
      <c r="A4" s="8" t="s">
        <v>116</v>
      </c>
      <c r="B4" s="9" t="s">
        <v>117</v>
      </c>
    </row>
    <row r="5" customFormat="false" ht="15" hidden="false" customHeight="false" outlineLevel="0" collapsed="false">
      <c r="A5" s="8" t="s">
        <v>118</v>
      </c>
      <c r="B5" s="9" t="s">
        <v>119</v>
      </c>
    </row>
    <row r="7" customFormat="false" ht="15" hidden="false" customHeight="false" outlineLevel="0" collapsed="false">
      <c r="A7" s="10" t="s">
        <v>120</v>
      </c>
    </row>
    <row r="8" customFormat="false" ht="15" hidden="false" customHeight="false" outlineLevel="0" collapsed="false">
      <c r="A8" s="9" t="s">
        <v>121</v>
      </c>
      <c r="B8" s="9" t="n">
        <f aca="false">COUNTIF('Test Cases'!G:G,"Yes")</f>
        <v>15</v>
      </c>
    </row>
    <row r="9" customFormat="false" ht="15" hidden="false" customHeight="false" outlineLevel="0" collapsed="false">
      <c r="A9" s="9" t="s">
        <v>122</v>
      </c>
      <c r="B9" s="9" t="n">
        <f aca="false">COUNTIF('Test Cases'!G:G,"Manual (chaos test)")</f>
        <v>1</v>
      </c>
    </row>
    <row r="10" customFormat="false" ht="15" hidden="false" customHeight="false" outlineLevel="0" collapsed="false">
      <c r="A10" s="9" t="s">
        <v>104</v>
      </c>
      <c r="B10" s="9" t="n">
        <f aca="false">COUNTIF('Test Cases'!G:G,"Planned")</f>
        <v>1</v>
      </c>
    </row>
    <row r="11" customFormat="false" ht="15" hidden="false" customHeight="false" outlineLevel="0" collapsed="false">
      <c r="A11" s="9" t="s">
        <v>123</v>
      </c>
      <c r="B11" s="9" t="n">
        <f aca="false">COUNTA('Test Cases'!A2:A100)</f>
        <v>17</v>
      </c>
    </row>
    <row r="13" customFormat="false" ht="15" hidden="false" customHeight="false" outlineLevel="0" collapsed="false">
      <c r="A13" s="10" t="s">
        <v>124</v>
      </c>
    </row>
    <row r="14" customFormat="false" ht="15" hidden="false" customHeight="false" outlineLevel="0" collapsed="false">
      <c r="A14" s="9" t="s">
        <v>14</v>
      </c>
      <c r="B14" s="9" t="n">
        <f aca="false">COUNTIF('Test Cases'!F:F,"Functional")</f>
        <v>6</v>
      </c>
    </row>
    <row r="15" customFormat="false" ht="15" hidden="false" customHeight="false" outlineLevel="0" collapsed="false">
      <c r="A15" s="9" t="s">
        <v>42</v>
      </c>
      <c r="B15" s="9" t="n">
        <f aca="false">COUNTIF('Test Cases'!F:F,"Functional / Compensation")</f>
        <v>3</v>
      </c>
    </row>
    <row r="16" customFormat="false" ht="15" hidden="false" customHeight="false" outlineLevel="0" collapsed="false">
      <c r="A16" s="9" t="s">
        <v>54</v>
      </c>
      <c r="B16" s="9" t="n">
        <f aca="false">COUNTIF('Test Cases'!F:F,"Functional / Cancellation")</f>
        <v>1</v>
      </c>
    </row>
    <row r="17" customFormat="false" ht="15" hidden="false" customHeight="false" outlineLevel="0" collapsed="false">
      <c r="A17" s="9" t="s">
        <v>112</v>
      </c>
      <c r="B17" s="9" t="n">
        <f aca="false">COUNTIF('Test Cases'!F:F,"Functional / Validation")</f>
        <v>1</v>
      </c>
    </row>
    <row r="18" customFormat="false" ht="15" hidden="false" customHeight="false" outlineLevel="0" collapsed="false">
      <c r="A18" s="9" t="s">
        <v>48</v>
      </c>
      <c r="B18" s="9" t="n">
        <f aca="false">COUNTIF('Test Cases'!F:F,"Reliability / Idempotency")</f>
        <v>2</v>
      </c>
    </row>
    <row r="19" customFormat="false" ht="15" hidden="false" customHeight="false" outlineLevel="0" collapsed="false">
      <c r="A19" s="9" t="s">
        <v>94</v>
      </c>
      <c r="B19" s="9" t="n">
        <f aca="false">COUNTIF('Test Cases'!F:F,"Reliability")</f>
        <v>1</v>
      </c>
    </row>
    <row r="20" customFormat="false" ht="15" hidden="false" customHeight="false" outlineLevel="0" collapsed="false">
      <c r="A20" s="9" t="s">
        <v>87</v>
      </c>
      <c r="B20" s="9" t="n">
        <f aca="false">COUNTIF('Test Cases'!F:F,"Non-functional / Scalability")</f>
        <v>1</v>
      </c>
    </row>
    <row r="21" customFormat="false" ht="15" hidden="false" customHeight="false" outlineLevel="0" collapsed="false">
      <c r="A21" s="9" t="s">
        <v>103</v>
      </c>
      <c r="B21" s="9" t="n">
        <f aca="false">COUNTIF('Test Cases'!F:F,"Non-functional / Observability")</f>
        <v>1</v>
      </c>
    </row>
    <row r="22" customFormat="false" ht="15" hidden="false" customHeight="false" outlineLevel="0" collapsed="false">
      <c r="A22" s="9" t="s">
        <v>68</v>
      </c>
      <c r="B22" s="9" t="n">
        <f aca="false">COUNTIF('Test Cases'!F:F,"Edge case")</f>
        <v>1</v>
      </c>
    </row>
    <row r="25" customFormat="false" ht="15" hidden="false" customHeight="false" outlineLevel="0" collapsed="false">
      <c r="A25" s="10" t="s">
        <v>8</v>
      </c>
    </row>
    <row r="26" customFormat="false" ht="35.05" hidden="false" customHeight="true" outlineLevel="0" collapsed="false">
      <c r="A26" s="11" t="s">
        <v>125</v>
      </c>
      <c r="B26" s="11"/>
      <c r="C26" s="11"/>
      <c r="D26" s="11"/>
      <c r="E26" s="11"/>
    </row>
    <row r="27" customFormat="false" ht="23.85" hidden="false" customHeight="true" outlineLevel="0" collapsed="false">
      <c r="A27" s="11" t="s">
        <v>126</v>
      </c>
      <c r="B27" s="11"/>
      <c r="C27" s="11"/>
      <c r="D27" s="11"/>
      <c r="E27" s="11"/>
    </row>
  </sheetData>
  <mergeCells count="2">
    <mergeCell ref="A26:E26"/>
    <mergeCell ref="A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2026-08-16T16:53:41Z</dcterms:created>
  <dc:creator>openpyxl</dc:creator>
  <dc:description/>
  <dc:language>en-US</dc:language>
  <cp:lastModifiedBy/>
  <dcterms:modified xsi:type="dcterms:W3CDTF">2026-08-16T16:53:41Z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